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dit Checks" sheetId="1" state="visible" r:id="rId3"/>
    <sheet name="Summary" sheetId="2" state="visible" r:id="rId4"/>
  </sheets>
  <definedNames>
    <definedName function="false" hidden="true" localSheetId="0" name="_xlnm._FilterDatabase" vbProcedure="false">'Audit Checks'!$A$1:$F$91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<sst xmlns="http://schemas.openxmlformats.org/spreadsheetml/2006/main" count="476" uniqueCount="229">
  <si>
    <t xml:space="preserve">#</t>
  </si>
  <si>
    <t xml:space="preserve">Check</t>
  </si>
  <si>
    <t xml:space="preserve">Feasibility tier</t>
  </si>
  <si>
    <t xml:space="preserve">How to detect</t>
  </si>
  <si>
    <t xml:space="preserve">Extra source beyond crawl</t>
  </si>
  <si>
    <t xml:space="preserve">Verdict</t>
  </si>
  <si>
    <t xml:space="preserve">Cookies Preventing Crawling</t>
  </si>
  <si>
    <t xml:space="preserve">CRAWL+</t>
  </si>
  <si>
    <t xml:space="preserve">Set-cookie + redirect to consent URL, or near-empty bodies across many URLs</t>
  </si>
  <si>
    <t xml:space="preserve">-</t>
  </si>
  <si>
    <t xml:space="preserve">Heuristic</t>
  </si>
  <si>
    <t xml:space="preserve">Security Tool Blocking Crawl</t>
  </si>
  <si>
    <t xml:space="preserve">CRAWL</t>
  </si>
  <si>
    <t xml:space="preserve">403/429/503 status or WAF challenge patterns in body</t>
  </si>
  <si>
    <t xml:space="preserve">Automatable</t>
  </si>
  <si>
    <t xml:space="preserve">Website Cloaking</t>
  </si>
  <si>
    <t xml:space="preserve">Diff two crawls: Googlebot UA vs default UA (title/h1/body length)</t>
  </si>
  <si>
    <t xml:space="preserve">2nd crawl</t>
  </si>
  <si>
    <t xml:space="preserve">Incorrect Robots.txt Formatting</t>
  </si>
  <si>
    <t xml:space="preserve">robotstxt_to_df parse + validate directives</t>
  </si>
  <si>
    <t xml:space="preserve">Missing Robots.txt File</t>
  </si>
  <si>
    <t xml:space="preserve">Fetch /robots.txt, flag 404/empty</t>
  </si>
  <si>
    <t xml:space="preserve">Non-Indexable URLs in Canonical Tags</t>
  </si>
  <si>
    <t xml:space="preserve">Join canonical target to crawl status/noindex</t>
  </si>
  <si>
    <t xml:space="preserve">Canonical Outside of &lt;head&gt;</t>
  </si>
  <si>
    <t xml:space="preserve">Parse raw HTML, link rel=canonical not inside head</t>
  </si>
  <si>
    <t xml:space="preserve">Canonicals Point to a Staging Domain</t>
  </si>
  <si>
    <t xml:space="preserve">Canonical host matches staging patterns</t>
  </si>
  <si>
    <t xml:space="preserve">pattern list</t>
  </si>
  <si>
    <t xml:space="preserve">Canonicals Point to a Third-Party Site</t>
  </si>
  <si>
    <t xml:space="preserve">Canonical host != site host</t>
  </si>
  <si>
    <t xml:space="preserve">Non-Canonicalized Filter URLs</t>
  </si>
  <si>
    <t xml:space="preserve">Filter-param URLs whose canonical != clean URL</t>
  </si>
  <si>
    <t xml:space="preserve">param config</t>
  </si>
  <si>
    <t xml:space="preserve">Non-Canonicalized Sorting/Order URLs</t>
  </si>
  <si>
    <t xml:space="preserve">Sort-param URLs whose canonical != clean URL</t>
  </si>
  <si>
    <t xml:space="preserve">Incorrect Code in Canonical Tag</t>
  </si>
  <si>
    <t xml:space="preserve">Malformed canonical (spaces, multiple, non-URL)</t>
  </si>
  <si>
    <t xml:space="preserve">Broken JavaScript/CSS Files</t>
  </si>
  <si>
    <t xml:space="preserve">Extract asset URLs, HEAD-crawl, flag non-200</t>
  </si>
  <si>
    <t xml:space="preserve">header crawl</t>
  </si>
  <si>
    <t xml:space="preserve">Robots.txt Blocking CSS &amp; JS</t>
  </si>
  <si>
    <t xml:space="preserve">Test asset paths against robots rules</t>
  </si>
  <si>
    <t xml:space="preserve">Rendering Errors</t>
  </si>
  <si>
    <t xml:space="preserve">RENDER</t>
  </si>
  <si>
    <t xml:space="preserve">Requires headless render to observe</t>
  </si>
  <si>
    <t xml:space="preserve">headless browser</t>
  </si>
  <si>
    <t xml:space="preserve">Not from crawl</t>
  </si>
  <si>
    <t xml:space="preserve">JavaScript-Powered Menu Navigation</t>
  </si>
  <si>
    <t xml:space="preserve">Nav absent in static HTML but present rendered</t>
  </si>
  <si>
    <t xml:space="preserve">Partial</t>
  </si>
  <si>
    <t xml:space="preserve">Infinite Pagination w/o Crawlable Nav</t>
  </si>
  <si>
    <t xml:space="preserve">Detect pagination params; check rel=next/prev and &lt;a&gt; links</t>
  </si>
  <si>
    <t xml:space="preserve">UTM Querystrings in Internal Links</t>
  </si>
  <si>
    <t xml:space="preserve">Scan extracted links for utm_ params</t>
  </si>
  <si>
    <t xml:space="preserve">Filter URLs Not Consistent Order</t>
  </si>
  <si>
    <t xml:space="preserve">Param-order analysis across filter URLs</t>
  </si>
  <si>
    <t xml:space="preserve">Links Pointing to Site Search Pages</t>
  </si>
  <si>
    <t xml:space="preserve">Internal links matching search-path pattern</t>
  </si>
  <si>
    <t xml:space="preserve">path config</t>
  </si>
  <si>
    <t xml:space="preserve">Other Error Preventing Rendering</t>
  </si>
  <si>
    <t xml:space="preserve">Requires headless render</t>
  </si>
  <si>
    <t xml:space="preserve">Hidden Uncrawlable Content Behind JS</t>
  </si>
  <si>
    <t xml:space="preserve">Diff static vs rendered content</t>
  </si>
  <si>
    <t xml:space="preserve">Multiple &lt;head&gt; Tags</t>
  </si>
  <si>
    <t xml:space="preserve">Count &lt;head&gt; in raw HTML</t>
  </si>
  <si>
    <t xml:space="preserve">Canonicals Point Away from Main Site</t>
  </si>
  <si>
    <t xml:space="preserve">Canonical host outside primary domain set</t>
  </si>
  <si>
    <t xml:space="preserve">Largest Contentful Paint Issues</t>
  </si>
  <si>
    <t xml:space="preserve">CWV</t>
  </si>
  <si>
    <t xml:space="preserve">LCP timing</t>
  </si>
  <si>
    <t xml:space="preserve">Lighthouse/CrUX</t>
  </si>
  <si>
    <t xml:space="preserve">Large Layout Shifts (CLS)</t>
  </si>
  <si>
    <t xml:space="preserve">Layout-shift metric</t>
  </si>
  <si>
    <t xml:space="preserve">Properly Size Images</t>
  </si>
  <si>
    <t xml:space="preserve">Rendered vs intrinsic size</t>
  </si>
  <si>
    <t xml:space="preserve">Lighthouse</t>
  </si>
  <si>
    <t xml:space="preserve">Eliminate Render-Blocking Resources</t>
  </si>
  <si>
    <t xml:space="preserve">Lighthouse audit; partial: sync script/link in head</t>
  </si>
  <si>
    <t xml:space="preserve">Efficiently Encode Images</t>
  </si>
  <si>
    <t xml:space="preserve">Lighthouse audit; partial: format/size via header crawl</t>
  </si>
  <si>
    <t xml:space="preserve">Incorrectly Formatted Structured Data</t>
  </si>
  <si>
    <t xml:space="preserve">Parse jsonld/microdata, validate vs schema.org</t>
  </si>
  <si>
    <t xml:space="preserve">Missing/Incorrect Organization Schema</t>
  </si>
  <si>
    <t xml:space="preserve">Check jsonld for Organization type</t>
  </si>
  <si>
    <t xml:space="preserve">Missing/Incorrect LocalBusiness Schema</t>
  </si>
  <si>
    <t xml:space="preserve">Check jsonld for LocalBusiness type</t>
  </si>
  <si>
    <t xml:space="preserve">Title - Outside Head</t>
  </si>
  <si>
    <t xml:space="preserve">&lt;title&gt; outside &lt;head&gt; in raw HTML</t>
  </si>
  <si>
    <t xml:space="preserve">Missing H1s</t>
  </si>
  <si>
    <t xml:space="preserve">h1 column empty</t>
  </si>
  <si>
    <t xml:space="preserve">Content in ::before / ::after</t>
  </si>
  <si>
    <t xml:space="preserve">CSS-generated content needs render/CSS parse</t>
  </si>
  <si>
    <t xml:space="preserve">headless/CSS</t>
  </si>
  <si>
    <t xml:space="preserve">Google Search Console Activated</t>
  </si>
  <si>
    <t xml:space="preserve">EXTERNAL</t>
  </si>
  <si>
    <t xml:space="preserve">GSC verification status (meta token only is partial)</t>
  </si>
  <si>
    <t xml:space="preserve">GSC API</t>
  </si>
  <si>
    <t xml:space="preserve">Soft 404s in XML Sitemap</t>
  </si>
  <si>
    <t xml:space="preserve">Sitemap URLs returning 200 but thin/'not found' body</t>
  </si>
  <si>
    <t xml:space="preserve">sitemap</t>
  </si>
  <si>
    <t xml:space="preserve">Missing XML Sitemap Links in Robots.txt</t>
  </si>
  <si>
    <t xml:space="preserve">Check robots Sitemap: directive present</t>
  </si>
  <si>
    <t xml:space="preserve">Incorrect XML Sitemap Links in Robots.txt</t>
  </si>
  <si>
    <t xml:space="preserve">Fetch robots Sitemap: URLs, check status/parse</t>
  </si>
  <si>
    <t xml:space="preserve">Relative URLs in Canonical Tags</t>
  </si>
  <si>
    <t xml:space="preserve">Canonical not absolute</t>
  </si>
  <si>
    <t xml:space="preserve">Broken Images</t>
  </si>
  <si>
    <t xml:space="preserve">img_src HEAD-crawl status</t>
  </si>
  <si>
    <t xml:space="preserve">image/header crawl</t>
  </si>
  <si>
    <t xml:space="preserve">Minify JavaScript</t>
  </si>
  <si>
    <t xml:space="preserve">Fetch JS, whitespace/newline ratio heuristic</t>
  </si>
  <si>
    <t xml:space="preserve">extra fetch</t>
  </si>
  <si>
    <t xml:space="preserve">Minify CSS</t>
  </si>
  <si>
    <t xml:space="preserve">Fetch CSS, whitespace/newline ratio heuristic</t>
  </si>
  <si>
    <t xml:space="preserve">Enable Text Compression</t>
  </si>
  <si>
    <t xml:space="preserve">content-encoding header gzip/br</t>
  </si>
  <si>
    <t xml:space="preserve">Efficient Cache Policy for Static Assets</t>
  </si>
  <si>
    <t xml:space="preserve">cache-control/expires on asset HEAD-crawl</t>
  </si>
  <si>
    <t xml:space="preserve">Avoid document.write()</t>
  </si>
  <si>
    <t xml:space="preserve">Scan HTML/JS for document.write</t>
  </si>
  <si>
    <t xml:space="preserve">Woff2 Fonts</t>
  </si>
  <si>
    <t xml:space="preserve">Detect non-woff2 font references</t>
  </si>
  <si>
    <t xml:space="preserve">Server Errors (5xx)</t>
  </si>
  <si>
    <t xml:space="preserve">status 5xx</t>
  </si>
  <si>
    <t xml:space="preserve">Mixed Content</t>
  </si>
  <si>
    <t xml:space="preserve">https page referencing http:// assets/links</t>
  </si>
  <si>
    <t xml:space="preserve">Malformed URLs</t>
  </si>
  <si>
    <t xml:space="preserve">url_to_df parse failures / invalid chars</t>
  </si>
  <si>
    <t xml:space="preserve">Utilize Preconnect</t>
  </si>
  <si>
    <t xml:space="preserve">Presence of link rel=preconnect (advisory)</t>
  </si>
  <si>
    <t xml:space="preserve">Advisory</t>
  </si>
  <si>
    <t xml:space="preserve">Viewport Tag Missing width/initial-scale</t>
  </si>
  <si>
    <t xml:space="preserve">Parse viewport meta content</t>
  </si>
  <si>
    <t xml:space="preserve">Use Video Formats for Animated Content</t>
  </si>
  <si>
    <t xml:space="preserve">Lighthouse audit; partial: detect .gif use</t>
  </si>
  <si>
    <t xml:space="preserve">Font Loading: @import</t>
  </si>
  <si>
    <t xml:space="preserve">Scan CSS for @import</t>
  </si>
  <si>
    <t xml:space="preserve">HTML Code in Meta Descriptions</t>
  </si>
  <si>
    <t xml:space="preserve">meta_desc contains &lt; &gt; tags</t>
  </si>
  <si>
    <t xml:space="preserve">Multiple Meta Descriptions</t>
  </si>
  <si>
    <t xml:space="preserve">Count meta description tags in raw HTML</t>
  </si>
  <si>
    <t xml:space="preserve">Missing XML Sitemap in GSC</t>
  </si>
  <si>
    <t xml:space="preserve">GSC sitemaps report</t>
  </si>
  <si>
    <t xml:space="preserve">XML Sitemap Over 50,000 URLs or 50 MB</t>
  </si>
  <si>
    <t xml:space="preserve">sitemap_to_df count + file size</t>
  </si>
  <si>
    <t xml:space="preserve">Broken Redirects</t>
  </si>
  <si>
    <t xml:space="preserve">Redirect chain ends 4xx/5xx</t>
  </si>
  <si>
    <t xml:space="preserve">Redirect Loops</t>
  </si>
  <si>
    <t xml:space="preserve">Repeated host/path in redirect chain</t>
  </si>
  <si>
    <t xml:space="preserve">Meta NoSnippet URLs</t>
  </si>
  <si>
    <t xml:space="preserve">Robots meta nosnippet</t>
  </si>
  <si>
    <t xml:space="preserve">Meta NoArchive URLs</t>
  </si>
  <si>
    <t xml:space="preserve">Robots meta noarchive</t>
  </si>
  <si>
    <t xml:space="preserve">Noindex Canonicalized URLs</t>
  </si>
  <si>
    <t xml:space="preserve">noindex + canonical present conflict</t>
  </si>
  <si>
    <t xml:space="preserve">Crawlable Filter URLs (no nofollow/onclick/#)</t>
  </si>
  <si>
    <t xml:space="preserve">Filter links lacking nofollow/js handling</t>
  </si>
  <si>
    <t xml:space="preserve">Crawlable Sorting/Order URLs</t>
  </si>
  <si>
    <t xml:space="preserve">Sort links lacking nofollow/js handling</t>
  </si>
  <si>
    <t xml:space="preserve">Rel=Nofollow on Internal Links to Indexable Pages</t>
  </si>
  <si>
    <t xml:space="preserve">Nofollow internal links to indexable targets</t>
  </si>
  <si>
    <t xml:space="preserve">Search URLs in Index</t>
  </si>
  <si>
    <t xml:space="preserve">Indexable URLs matching search pattern</t>
  </si>
  <si>
    <t xml:space="preserve">Session IDs in Index</t>
  </si>
  <si>
    <t xml:space="preserve">Indexable URLs with sid/phpsessid-type params</t>
  </si>
  <si>
    <t xml:space="preserve">Inconsistency Between Mobile &amp; Desktop Content</t>
  </si>
  <si>
    <t xml:space="preserve">Diff mobile-UA vs desktop-UA crawl</t>
  </si>
  <si>
    <t xml:space="preserve">Product URL Variations</t>
  </si>
  <si>
    <t xml:space="preserve">Duplicate content via param variants</t>
  </si>
  <si>
    <t xml:space="preserve">Intrusive Interstitial Usage</t>
  </si>
  <si>
    <t xml:space="preserve">Needs render / CrUX field data</t>
  </si>
  <si>
    <t xml:space="preserve">headless/CrUX</t>
  </si>
  <si>
    <t xml:space="preserve">Broken Backlinks (4xx Pages with Backlinks)</t>
  </si>
  <si>
    <t xml:space="preserve">Join backlink list to crawl status</t>
  </si>
  <si>
    <t xml:space="preserve">backlink source</t>
  </si>
  <si>
    <t xml:space="preserve">Improper Handling of Discontinued Products</t>
  </si>
  <si>
    <t xml:space="preserve">Product URLs 404 vs 301; needs product list</t>
  </si>
  <si>
    <t xml:space="preserve">product list</t>
  </si>
  <si>
    <t xml:space="preserve">Meta Description - Outside Head</t>
  </si>
  <si>
    <t xml:space="preserve">meta description outside head in raw HTML</t>
  </si>
  <si>
    <t xml:space="preserve">JS Rotating Titles</t>
  </si>
  <si>
    <t xml:space="preserve">Title changes via JS</t>
  </si>
  <si>
    <t xml:space="preserve">Multiple Titles</t>
  </si>
  <si>
    <t xml:space="preserve">Count &lt;title&gt; tags in raw HTML</t>
  </si>
  <si>
    <t xml:space="preserve">Missing XML Sitemap</t>
  </si>
  <si>
    <t xml:space="preserve">No sitemap found via robots/common paths</t>
  </si>
  <si>
    <t xml:space="preserve">Incorrect XML Sitemap Formatting</t>
  </si>
  <si>
    <t xml:space="preserve">sitemap_to_df parse errors</t>
  </si>
  <si>
    <t xml:space="preserve">Missing Canonicals</t>
  </si>
  <si>
    <t xml:space="preserve">canonical column empty</t>
  </si>
  <si>
    <t xml:space="preserve">Robots.txt Disallows Images</t>
  </si>
  <si>
    <t xml:space="preserve">Test image paths against robots</t>
  </si>
  <si>
    <t xml:space="preserve">JavaScript Onclick Links</t>
  </si>
  <si>
    <t xml:space="preserve">Parse HTML for onclick nav (a without href)</t>
  </si>
  <si>
    <t xml:space="preserve">Lack of Redirects to Canonical Version</t>
  </si>
  <si>
    <t xml:space="preserve">Test http/non-www/slash variants redirect to canonical</t>
  </si>
  <si>
    <t xml:space="preserve">Excessive JSON File Crawling</t>
  </si>
  <si>
    <t xml:space="preserve">Count .json URLs discovered/crawled</t>
  </si>
  <si>
    <t xml:space="preserve">Auto-Generated Pagination Parameters</t>
  </si>
  <si>
    <t xml:space="preserve">Detect pagination param explosion</t>
  </si>
  <si>
    <t xml:space="preserve">Next-Gen Images</t>
  </si>
  <si>
    <t xml:space="preserve">Lighthouse audit; partial: detect webp/avif adoption</t>
  </si>
  <si>
    <t xml:space="preserve">Preload Key Requests</t>
  </si>
  <si>
    <t xml:space="preserve">Lighthouse audit; partial: presence of link rel=preload</t>
  </si>
  <si>
    <t xml:space="preserve">Preload LCP</t>
  </si>
  <si>
    <t xml:space="preserve">Needs LCP element identification (render)</t>
  </si>
  <si>
    <t xml:space="preserve">Lighthouse/render</t>
  </si>
  <si>
    <t xml:space="preserve">Lazy Load Third-Party with Facades</t>
  </si>
  <si>
    <t xml:space="preserve">Lighthouse audit</t>
  </si>
  <si>
    <t xml:space="preserve">Duplicate Scripts Loaded</t>
  </si>
  <si>
    <t xml:space="preserve">Duplicate script src in raw HTML</t>
  </si>
  <si>
    <t xml:space="preserve">Display:None Content</t>
  </si>
  <si>
    <t xml:space="preserve">Needs CSS/render to confirm</t>
  </si>
  <si>
    <t xml:space="preserve">advertools MCP - SEO audit check feasibility</t>
  </si>
  <si>
    <t xml:space="preserve">Tier</t>
  </si>
  <si>
    <t xml:space="preserve">Meaning</t>
  </si>
  <si>
    <t xml:space="preserve">Count</t>
  </si>
  <si>
    <t xml:space="preserve">From advertools crawl output + static parse of fetched HTML/headers/robots/sitemaps</t>
  </si>
  <si>
    <t xml:space="preserve">Needs extra non-rendered fetches (asset HEAD-crawl, JS/CSS bodies, 2nd UA crawl, variant tests) or pattern config</t>
  </si>
  <si>
    <t xml:space="preserve">Needs JavaScript rendering / headless browser (outside advertools)</t>
  </si>
  <si>
    <t xml:space="preserve">Needs Lighthouse / PageSpeed Insights / CrUX performance data</t>
  </si>
  <si>
    <t xml:space="preserve">Needs GSC API or backlink data</t>
  </si>
  <si>
    <t xml:space="preserve">Total</t>
  </si>
  <si>
    <t xml:space="preserve">Recommendation</t>
  </si>
  <si>
    <t xml:space="preserve">Scope the crawl-only audit to the CRAWL and CRAWL+ tiers. These cover the large majority of checks.</t>
  </si>
  <si>
    <t xml:space="preserve">RENDER, CWV and EXTERNAL checks cannot come from an advertools crawl. Either wire the named optional source</t>
  </si>
  <si>
    <t xml:space="preserve">(a headless render pass, the PageSpeed Insights API, or the GSC/backlink APIs) or mark them 'Not assessed' in output.</t>
  </si>
  <si>
    <t xml:space="preserve">Never emit a pass/fail for a check you could not actually evaluate. Report it as 'Not assessed (requires X)'.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</si>
</sst>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7F6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sz val="10"/>
      <color rgb="FF00610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33C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7F6000"/>
      <name val="Arial"/>
      <family val="0"/>
      <charset val="1"/>
    </font>
    <font>
      <b val="true"/>
      <sz val="11"/>
      <color rgb="FF833C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1F3864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FFFFE699"/>
        <bgColor rgb="FFFCE4D6"/>
      </patternFill>
    </fill>
    <fill>
      <patternFill patternType="solid">
        <fgColor rgb="FFFCE4D6"/>
        <bgColor rgb="FFFFE699"/>
      </patternFill>
    </fill>
    <fill>
      <patternFill patternType="solid">
        <fgColor rgb="FFFFC7CE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4040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833C00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15"/>
    <col collapsed="false" customWidth="true" hidden="false" outlineLevel="0" max="4" min="4" style="0" width="52"/>
    <col collapsed="false" customWidth="true" hidden="false" outlineLevel="0" max="5" min="5" style="0" width="20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23.85" hidden="false" customHeight="false" outlineLevel="0" collapsed="false">
      <c r="A2" s="2" t="n">
        <v>1</v>
      </c>
      <c r="B2" s="2" t="s">
        <v>6</v>
      </c>
      <c r="C2" s="3" t="s">
        <v>7</v>
      </c>
      <c r="D2" s="2" t="s">
        <v>8</v>
      </c>
      <c r="E2" s="2" t="s">
        <v>9</v>
      </c>
      <c r="F2" s="4" t="s">
        <v>10</v>
      </c>
    </row>
    <row r="3" customFormat="false" ht="15" hidden="false" customHeight="false" outlineLevel="0" collapsed="false">
      <c r="A3" s="2" t="n">
        <v>2</v>
      </c>
      <c r="B3" s="2" t="s">
        <v>11</v>
      </c>
      <c r="C3" s="5" t="s">
        <v>12</v>
      </c>
      <c r="D3" s="2" t="s">
        <v>13</v>
      </c>
      <c r="E3" s="2" t="s">
        <v>9</v>
      </c>
      <c r="F3" s="6" t="s">
        <v>14</v>
      </c>
    </row>
    <row r="4" customFormat="false" ht="23.85" hidden="false" customHeight="false" outlineLevel="0" collapsed="false">
      <c r="A4" s="2" t="n">
        <v>3</v>
      </c>
      <c r="B4" s="2" t="s">
        <v>15</v>
      </c>
      <c r="C4" s="3" t="s">
        <v>7</v>
      </c>
      <c r="D4" s="2" t="s">
        <v>16</v>
      </c>
      <c r="E4" s="2" t="s">
        <v>17</v>
      </c>
      <c r="F4" s="4" t="s">
        <v>10</v>
      </c>
    </row>
    <row r="5" customFormat="false" ht="15" hidden="false" customHeight="false" outlineLevel="0" collapsed="false">
      <c r="A5" s="2" t="n">
        <v>4</v>
      </c>
      <c r="B5" s="2" t="s">
        <v>18</v>
      </c>
      <c r="C5" s="5" t="s">
        <v>12</v>
      </c>
      <c r="D5" s="2" t="s">
        <v>19</v>
      </c>
      <c r="E5" s="2" t="s">
        <v>9</v>
      </c>
      <c r="F5" s="6" t="s">
        <v>14</v>
      </c>
    </row>
    <row r="6" customFormat="false" ht="15" hidden="false" customHeight="false" outlineLevel="0" collapsed="false">
      <c r="A6" s="2" t="n">
        <v>5</v>
      </c>
      <c r="B6" s="2" t="s">
        <v>20</v>
      </c>
      <c r="C6" s="5" t="s">
        <v>12</v>
      </c>
      <c r="D6" s="2" t="s">
        <v>21</v>
      </c>
      <c r="E6" s="2" t="s">
        <v>9</v>
      </c>
      <c r="F6" s="6" t="s">
        <v>14</v>
      </c>
    </row>
    <row r="7" customFormat="false" ht="15" hidden="false" customHeight="false" outlineLevel="0" collapsed="false">
      <c r="A7" s="2" t="n">
        <v>6</v>
      </c>
      <c r="B7" s="2" t="s">
        <v>22</v>
      </c>
      <c r="C7" s="5" t="s">
        <v>12</v>
      </c>
      <c r="D7" s="2" t="s">
        <v>23</v>
      </c>
      <c r="E7" s="2" t="s">
        <v>9</v>
      </c>
      <c r="F7" s="6" t="s">
        <v>14</v>
      </c>
    </row>
    <row r="8" customFormat="false" ht="15" hidden="false" customHeight="false" outlineLevel="0" collapsed="false">
      <c r="A8" s="2" t="n">
        <v>7</v>
      </c>
      <c r="B8" s="2" t="s">
        <v>24</v>
      </c>
      <c r="C8" s="3" t="s">
        <v>7</v>
      </c>
      <c r="D8" s="2" t="s">
        <v>25</v>
      </c>
      <c r="E8" s="2" t="s">
        <v>9</v>
      </c>
      <c r="F8" s="6" t="s">
        <v>14</v>
      </c>
    </row>
    <row r="9" customFormat="false" ht="15" hidden="false" customHeight="false" outlineLevel="0" collapsed="false">
      <c r="A9" s="2" t="n">
        <v>8</v>
      </c>
      <c r="B9" s="2" t="s">
        <v>26</v>
      </c>
      <c r="C9" s="5" t="s">
        <v>12</v>
      </c>
      <c r="D9" s="2" t="s">
        <v>27</v>
      </c>
      <c r="E9" s="2" t="s">
        <v>28</v>
      </c>
      <c r="F9" s="6" t="s">
        <v>14</v>
      </c>
    </row>
    <row r="10" customFormat="false" ht="15" hidden="false" customHeight="false" outlineLevel="0" collapsed="false">
      <c r="A10" s="2" t="n">
        <v>9</v>
      </c>
      <c r="B10" s="2" t="s">
        <v>29</v>
      </c>
      <c r="C10" s="5" t="s">
        <v>12</v>
      </c>
      <c r="D10" s="2" t="s">
        <v>30</v>
      </c>
      <c r="E10" s="2" t="s">
        <v>9</v>
      </c>
      <c r="F10" s="6" t="s">
        <v>14</v>
      </c>
    </row>
    <row r="11" customFormat="false" ht="15" hidden="false" customHeight="false" outlineLevel="0" collapsed="false">
      <c r="A11" s="2" t="n">
        <v>10</v>
      </c>
      <c r="B11" s="2" t="s">
        <v>31</v>
      </c>
      <c r="C11" s="3" t="s">
        <v>7</v>
      </c>
      <c r="D11" s="2" t="s">
        <v>32</v>
      </c>
      <c r="E11" s="2" t="s">
        <v>33</v>
      </c>
      <c r="F11" s="4" t="s">
        <v>10</v>
      </c>
    </row>
    <row r="12" customFormat="false" ht="15" hidden="false" customHeight="false" outlineLevel="0" collapsed="false">
      <c r="A12" s="2" t="n">
        <v>11</v>
      </c>
      <c r="B12" s="2" t="s">
        <v>34</v>
      </c>
      <c r="C12" s="3" t="s">
        <v>7</v>
      </c>
      <c r="D12" s="2" t="s">
        <v>35</v>
      </c>
      <c r="E12" s="2" t="s">
        <v>33</v>
      </c>
      <c r="F12" s="4" t="s">
        <v>10</v>
      </c>
    </row>
    <row r="13" customFormat="false" ht="15" hidden="false" customHeight="false" outlineLevel="0" collapsed="false">
      <c r="A13" s="2" t="n">
        <v>12</v>
      </c>
      <c r="B13" s="2" t="s">
        <v>36</v>
      </c>
      <c r="C13" s="5" t="s">
        <v>12</v>
      </c>
      <c r="D13" s="2" t="s">
        <v>37</v>
      </c>
      <c r="E13" s="2" t="s">
        <v>9</v>
      </c>
      <c r="F13" s="6" t="s">
        <v>14</v>
      </c>
    </row>
    <row r="14" customFormat="false" ht="15" hidden="false" customHeight="false" outlineLevel="0" collapsed="false">
      <c r="A14" s="2" t="n">
        <v>13</v>
      </c>
      <c r="B14" s="2" t="s">
        <v>38</v>
      </c>
      <c r="C14" s="3" t="s">
        <v>7</v>
      </c>
      <c r="D14" s="2" t="s">
        <v>39</v>
      </c>
      <c r="E14" s="2" t="s">
        <v>40</v>
      </c>
      <c r="F14" s="6" t="s">
        <v>14</v>
      </c>
    </row>
    <row r="15" customFormat="false" ht="15" hidden="false" customHeight="false" outlineLevel="0" collapsed="false">
      <c r="A15" s="2" t="n">
        <v>14</v>
      </c>
      <c r="B15" s="2" t="s">
        <v>41</v>
      </c>
      <c r="C15" s="5" t="s">
        <v>12</v>
      </c>
      <c r="D15" s="2" t="s">
        <v>42</v>
      </c>
      <c r="E15" s="2" t="s">
        <v>9</v>
      </c>
      <c r="F15" s="6" t="s">
        <v>14</v>
      </c>
    </row>
    <row r="16" customFormat="false" ht="15" hidden="false" customHeight="false" outlineLevel="0" collapsed="false">
      <c r="A16" s="2" t="n">
        <v>15</v>
      </c>
      <c r="B16" s="2" t="s">
        <v>43</v>
      </c>
      <c r="C16" s="7" t="s">
        <v>44</v>
      </c>
      <c r="D16" s="2" t="s">
        <v>45</v>
      </c>
      <c r="E16" s="2" t="s">
        <v>46</v>
      </c>
      <c r="F16" s="8" t="s">
        <v>47</v>
      </c>
    </row>
    <row r="17" customFormat="false" ht="15" hidden="false" customHeight="false" outlineLevel="0" collapsed="false">
      <c r="A17" s="2" t="n">
        <v>16</v>
      </c>
      <c r="B17" s="2" t="s">
        <v>48</v>
      </c>
      <c r="C17" s="7" t="s">
        <v>44</v>
      </c>
      <c r="D17" s="2" t="s">
        <v>49</v>
      </c>
      <c r="E17" s="2" t="s">
        <v>46</v>
      </c>
      <c r="F17" s="4" t="s">
        <v>50</v>
      </c>
    </row>
    <row r="18" customFormat="false" ht="15" hidden="false" customHeight="false" outlineLevel="0" collapsed="false">
      <c r="A18" s="2" t="n">
        <v>17</v>
      </c>
      <c r="B18" s="2" t="s">
        <v>51</v>
      </c>
      <c r="C18" s="3" t="s">
        <v>7</v>
      </c>
      <c r="D18" s="2" t="s">
        <v>52</v>
      </c>
      <c r="E18" s="2" t="s">
        <v>9</v>
      </c>
      <c r="F18" s="4" t="s">
        <v>10</v>
      </c>
    </row>
    <row r="19" customFormat="false" ht="15" hidden="false" customHeight="false" outlineLevel="0" collapsed="false">
      <c r="A19" s="2" t="n">
        <v>18</v>
      </c>
      <c r="B19" s="2" t="s">
        <v>53</v>
      </c>
      <c r="C19" s="5" t="s">
        <v>12</v>
      </c>
      <c r="D19" s="2" t="s">
        <v>54</v>
      </c>
      <c r="E19" s="2" t="s">
        <v>9</v>
      </c>
      <c r="F19" s="6" t="s">
        <v>14</v>
      </c>
    </row>
    <row r="20" customFormat="false" ht="15" hidden="false" customHeight="false" outlineLevel="0" collapsed="false">
      <c r="A20" s="2" t="n">
        <v>19</v>
      </c>
      <c r="B20" s="2" t="s">
        <v>55</v>
      </c>
      <c r="C20" s="3" t="s">
        <v>7</v>
      </c>
      <c r="D20" s="2" t="s">
        <v>56</v>
      </c>
      <c r="E20" s="2" t="s">
        <v>33</v>
      </c>
      <c r="F20" s="4" t="s">
        <v>10</v>
      </c>
    </row>
    <row r="21" customFormat="false" ht="15" hidden="false" customHeight="false" outlineLevel="0" collapsed="false">
      <c r="A21" s="2" t="n">
        <v>20</v>
      </c>
      <c r="B21" s="2" t="s">
        <v>57</v>
      </c>
      <c r="C21" s="3" t="s">
        <v>7</v>
      </c>
      <c r="D21" s="2" t="s">
        <v>58</v>
      </c>
      <c r="E21" s="2" t="s">
        <v>59</v>
      </c>
      <c r="F21" s="4" t="s">
        <v>10</v>
      </c>
    </row>
    <row r="22" customFormat="false" ht="15" hidden="false" customHeight="false" outlineLevel="0" collapsed="false">
      <c r="A22" s="2" t="n">
        <v>21</v>
      </c>
      <c r="B22" s="2" t="s">
        <v>60</v>
      </c>
      <c r="C22" s="7" t="s">
        <v>44</v>
      </c>
      <c r="D22" s="2" t="s">
        <v>61</v>
      </c>
      <c r="E22" s="2" t="s">
        <v>46</v>
      </c>
      <c r="F22" s="8" t="s">
        <v>47</v>
      </c>
    </row>
    <row r="23" customFormat="false" ht="15" hidden="false" customHeight="false" outlineLevel="0" collapsed="false">
      <c r="A23" s="2" t="n">
        <v>22</v>
      </c>
      <c r="B23" s="2" t="s">
        <v>62</v>
      </c>
      <c r="C23" s="7" t="s">
        <v>44</v>
      </c>
      <c r="D23" s="2" t="s">
        <v>63</v>
      </c>
      <c r="E23" s="2" t="s">
        <v>46</v>
      </c>
      <c r="F23" s="8" t="s">
        <v>47</v>
      </c>
    </row>
    <row r="24" customFormat="false" ht="15" hidden="false" customHeight="false" outlineLevel="0" collapsed="false">
      <c r="A24" s="2" t="n">
        <v>23</v>
      </c>
      <c r="B24" s="2" t="s">
        <v>64</v>
      </c>
      <c r="C24" s="3" t="s">
        <v>7</v>
      </c>
      <c r="D24" s="2" t="s">
        <v>65</v>
      </c>
      <c r="E24" s="2" t="s">
        <v>9</v>
      </c>
      <c r="F24" s="6" t="s">
        <v>14</v>
      </c>
    </row>
    <row r="25" customFormat="false" ht="15" hidden="false" customHeight="false" outlineLevel="0" collapsed="false">
      <c r="A25" s="2" t="n">
        <v>24</v>
      </c>
      <c r="B25" s="2" t="s">
        <v>66</v>
      </c>
      <c r="C25" s="5" t="s">
        <v>12</v>
      </c>
      <c r="D25" s="2" t="s">
        <v>67</v>
      </c>
      <c r="E25" s="2" t="s">
        <v>9</v>
      </c>
      <c r="F25" s="6" t="s">
        <v>14</v>
      </c>
    </row>
    <row r="26" customFormat="false" ht="15" hidden="false" customHeight="false" outlineLevel="0" collapsed="false">
      <c r="A26" s="2" t="n">
        <v>25</v>
      </c>
      <c r="B26" s="2" t="s">
        <v>68</v>
      </c>
      <c r="C26" s="9" t="s">
        <v>69</v>
      </c>
      <c r="D26" s="2" t="s">
        <v>70</v>
      </c>
      <c r="E26" s="2" t="s">
        <v>71</v>
      </c>
      <c r="F26" s="8" t="s">
        <v>47</v>
      </c>
    </row>
    <row r="27" customFormat="false" ht="15" hidden="false" customHeight="false" outlineLevel="0" collapsed="false">
      <c r="A27" s="2" t="n">
        <v>26</v>
      </c>
      <c r="B27" s="2" t="s">
        <v>72</v>
      </c>
      <c r="C27" s="9" t="s">
        <v>69</v>
      </c>
      <c r="D27" s="2" t="s">
        <v>73</v>
      </c>
      <c r="E27" s="2" t="s">
        <v>71</v>
      </c>
      <c r="F27" s="8" t="s">
        <v>47</v>
      </c>
    </row>
    <row r="28" customFormat="false" ht="15" hidden="false" customHeight="false" outlineLevel="0" collapsed="false">
      <c r="A28" s="2" t="n">
        <v>27</v>
      </c>
      <c r="B28" s="2" t="s">
        <v>74</v>
      </c>
      <c r="C28" s="9" t="s">
        <v>69</v>
      </c>
      <c r="D28" s="2" t="s">
        <v>75</v>
      </c>
      <c r="E28" s="2" t="s">
        <v>76</v>
      </c>
      <c r="F28" s="8" t="s">
        <v>47</v>
      </c>
    </row>
    <row r="29" customFormat="false" ht="15" hidden="false" customHeight="false" outlineLevel="0" collapsed="false">
      <c r="A29" s="2" t="n">
        <v>28</v>
      </c>
      <c r="B29" s="2" t="s">
        <v>77</v>
      </c>
      <c r="C29" s="9" t="s">
        <v>69</v>
      </c>
      <c r="D29" s="2" t="s">
        <v>78</v>
      </c>
      <c r="E29" s="2" t="s">
        <v>76</v>
      </c>
      <c r="F29" s="4" t="s">
        <v>50</v>
      </c>
    </row>
    <row r="30" customFormat="false" ht="15" hidden="false" customHeight="false" outlineLevel="0" collapsed="false">
      <c r="A30" s="2" t="n">
        <v>29</v>
      </c>
      <c r="B30" s="2" t="s">
        <v>79</v>
      </c>
      <c r="C30" s="9" t="s">
        <v>69</v>
      </c>
      <c r="D30" s="2" t="s">
        <v>80</v>
      </c>
      <c r="E30" s="2" t="s">
        <v>76</v>
      </c>
      <c r="F30" s="4" t="s">
        <v>50</v>
      </c>
    </row>
    <row r="31" customFormat="false" ht="15" hidden="false" customHeight="false" outlineLevel="0" collapsed="false">
      <c r="A31" s="2" t="n">
        <v>30</v>
      </c>
      <c r="B31" s="2" t="s">
        <v>81</v>
      </c>
      <c r="C31" s="5" t="s">
        <v>12</v>
      </c>
      <c r="D31" s="2" t="s">
        <v>82</v>
      </c>
      <c r="E31" s="2" t="s">
        <v>9</v>
      </c>
      <c r="F31" s="6" t="s">
        <v>14</v>
      </c>
    </row>
    <row r="32" customFormat="false" ht="15" hidden="false" customHeight="false" outlineLevel="0" collapsed="false">
      <c r="A32" s="2" t="n">
        <v>31</v>
      </c>
      <c r="B32" s="2" t="s">
        <v>83</v>
      </c>
      <c r="C32" s="5" t="s">
        <v>12</v>
      </c>
      <c r="D32" s="2" t="s">
        <v>84</v>
      </c>
      <c r="E32" s="2" t="s">
        <v>9</v>
      </c>
      <c r="F32" s="6" t="s">
        <v>14</v>
      </c>
    </row>
    <row r="33" customFormat="false" ht="15" hidden="false" customHeight="false" outlineLevel="0" collapsed="false">
      <c r="A33" s="2" t="n">
        <v>32</v>
      </c>
      <c r="B33" s="2" t="s">
        <v>85</v>
      </c>
      <c r="C33" s="5" t="s">
        <v>12</v>
      </c>
      <c r="D33" s="2" t="s">
        <v>86</v>
      </c>
      <c r="E33" s="2" t="s">
        <v>9</v>
      </c>
      <c r="F33" s="6" t="s">
        <v>14</v>
      </c>
    </row>
    <row r="34" customFormat="false" ht="15" hidden="false" customHeight="false" outlineLevel="0" collapsed="false">
      <c r="A34" s="2" t="n">
        <v>33</v>
      </c>
      <c r="B34" s="2" t="s">
        <v>87</v>
      </c>
      <c r="C34" s="3" t="s">
        <v>7</v>
      </c>
      <c r="D34" s="2" t="s">
        <v>88</v>
      </c>
      <c r="E34" s="2" t="s">
        <v>9</v>
      </c>
      <c r="F34" s="6" t="s">
        <v>14</v>
      </c>
    </row>
    <row r="35" customFormat="false" ht="15" hidden="false" customHeight="false" outlineLevel="0" collapsed="false">
      <c r="A35" s="2" t="n">
        <v>34</v>
      </c>
      <c r="B35" s="2" t="s">
        <v>89</v>
      </c>
      <c r="C35" s="5" t="s">
        <v>12</v>
      </c>
      <c r="D35" s="2" t="s">
        <v>90</v>
      </c>
      <c r="E35" s="2" t="s">
        <v>9</v>
      </c>
      <c r="F35" s="6" t="s">
        <v>14</v>
      </c>
    </row>
    <row r="36" customFormat="false" ht="15" hidden="false" customHeight="false" outlineLevel="0" collapsed="false">
      <c r="A36" s="2" t="n">
        <v>35</v>
      </c>
      <c r="B36" s="2" t="s">
        <v>91</v>
      </c>
      <c r="C36" s="7" t="s">
        <v>44</v>
      </c>
      <c r="D36" s="2" t="s">
        <v>92</v>
      </c>
      <c r="E36" s="2" t="s">
        <v>93</v>
      </c>
      <c r="F36" s="8" t="s">
        <v>47</v>
      </c>
    </row>
    <row r="37" customFormat="false" ht="15" hidden="false" customHeight="false" outlineLevel="0" collapsed="false">
      <c r="A37" s="2" t="n">
        <v>36</v>
      </c>
      <c r="B37" s="2" t="s">
        <v>94</v>
      </c>
      <c r="C37" s="10" t="s">
        <v>95</v>
      </c>
      <c r="D37" s="2" t="s">
        <v>96</v>
      </c>
      <c r="E37" s="2" t="s">
        <v>97</v>
      </c>
      <c r="F37" s="4" t="s">
        <v>50</v>
      </c>
    </row>
    <row r="38" customFormat="false" ht="15" hidden="false" customHeight="false" outlineLevel="0" collapsed="false">
      <c r="A38" s="2" t="n">
        <v>37</v>
      </c>
      <c r="B38" s="2" t="s">
        <v>98</v>
      </c>
      <c r="C38" s="3" t="s">
        <v>7</v>
      </c>
      <c r="D38" s="2" t="s">
        <v>99</v>
      </c>
      <c r="E38" s="2" t="s">
        <v>100</v>
      </c>
      <c r="F38" s="4" t="s">
        <v>10</v>
      </c>
    </row>
    <row r="39" customFormat="false" ht="15" hidden="false" customHeight="false" outlineLevel="0" collapsed="false">
      <c r="A39" s="2" t="n">
        <v>38</v>
      </c>
      <c r="B39" s="2" t="s">
        <v>101</v>
      </c>
      <c r="C39" s="5" t="s">
        <v>12</v>
      </c>
      <c r="D39" s="2" t="s">
        <v>102</v>
      </c>
      <c r="E39" s="2" t="s">
        <v>9</v>
      </c>
      <c r="F39" s="6" t="s">
        <v>14</v>
      </c>
    </row>
    <row r="40" customFormat="false" ht="15" hidden="false" customHeight="false" outlineLevel="0" collapsed="false">
      <c r="A40" s="2" t="n">
        <v>39</v>
      </c>
      <c r="B40" s="2" t="s">
        <v>103</v>
      </c>
      <c r="C40" s="5" t="s">
        <v>12</v>
      </c>
      <c r="D40" s="2" t="s">
        <v>104</v>
      </c>
      <c r="E40" s="2" t="s">
        <v>100</v>
      </c>
      <c r="F40" s="6" t="s">
        <v>14</v>
      </c>
    </row>
    <row r="41" customFormat="false" ht="15" hidden="false" customHeight="false" outlineLevel="0" collapsed="false">
      <c r="A41" s="2" t="n">
        <v>40</v>
      </c>
      <c r="B41" s="2" t="s">
        <v>105</v>
      </c>
      <c r="C41" s="5" t="s">
        <v>12</v>
      </c>
      <c r="D41" s="2" t="s">
        <v>106</v>
      </c>
      <c r="E41" s="2" t="s">
        <v>9</v>
      </c>
      <c r="F41" s="6" t="s">
        <v>14</v>
      </c>
    </row>
    <row r="42" customFormat="false" ht="15" hidden="false" customHeight="false" outlineLevel="0" collapsed="false">
      <c r="A42" s="2" t="n">
        <v>41</v>
      </c>
      <c r="B42" s="2" t="s">
        <v>107</v>
      </c>
      <c r="C42" s="3" t="s">
        <v>7</v>
      </c>
      <c r="D42" s="2" t="s">
        <v>108</v>
      </c>
      <c r="E42" s="2" t="s">
        <v>109</v>
      </c>
      <c r="F42" s="6" t="s">
        <v>14</v>
      </c>
    </row>
    <row r="43" customFormat="false" ht="15" hidden="false" customHeight="false" outlineLevel="0" collapsed="false">
      <c r="A43" s="2" t="n">
        <v>42</v>
      </c>
      <c r="B43" s="2" t="s">
        <v>110</v>
      </c>
      <c r="C43" s="3" t="s">
        <v>7</v>
      </c>
      <c r="D43" s="2" t="s">
        <v>111</v>
      </c>
      <c r="E43" s="2" t="s">
        <v>112</v>
      </c>
      <c r="F43" s="4" t="s">
        <v>10</v>
      </c>
    </row>
    <row r="44" customFormat="false" ht="15" hidden="false" customHeight="false" outlineLevel="0" collapsed="false">
      <c r="A44" s="2" t="n">
        <v>43</v>
      </c>
      <c r="B44" s="2" t="s">
        <v>113</v>
      </c>
      <c r="C44" s="3" t="s">
        <v>7</v>
      </c>
      <c r="D44" s="2" t="s">
        <v>114</v>
      </c>
      <c r="E44" s="2" t="s">
        <v>112</v>
      </c>
      <c r="F44" s="4" t="s">
        <v>10</v>
      </c>
    </row>
    <row r="45" customFormat="false" ht="15" hidden="false" customHeight="false" outlineLevel="0" collapsed="false">
      <c r="A45" s="2" t="n">
        <v>44</v>
      </c>
      <c r="B45" s="2" t="s">
        <v>115</v>
      </c>
      <c r="C45" s="5" t="s">
        <v>12</v>
      </c>
      <c r="D45" s="2" t="s">
        <v>116</v>
      </c>
      <c r="E45" s="2" t="s">
        <v>9</v>
      </c>
      <c r="F45" s="6" t="s">
        <v>14</v>
      </c>
    </row>
    <row r="46" customFormat="false" ht="15" hidden="false" customHeight="false" outlineLevel="0" collapsed="false">
      <c r="A46" s="2" t="n">
        <v>45</v>
      </c>
      <c r="B46" s="2" t="s">
        <v>117</v>
      </c>
      <c r="C46" s="3" t="s">
        <v>7</v>
      </c>
      <c r="D46" s="2" t="s">
        <v>118</v>
      </c>
      <c r="E46" s="2" t="s">
        <v>40</v>
      </c>
      <c r="F46" s="6" t="s">
        <v>14</v>
      </c>
    </row>
    <row r="47" customFormat="false" ht="15" hidden="false" customHeight="false" outlineLevel="0" collapsed="false">
      <c r="A47" s="2" t="n">
        <v>46</v>
      </c>
      <c r="B47" s="2" t="s">
        <v>119</v>
      </c>
      <c r="C47" s="3" t="s">
        <v>7</v>
      </c>
      <c r="D47" s="2" t="s">
        <v>120</v>
      </c>
      <c r="E47" s="2" t="s">
        <v>112</v>
      </c>
      <c r="F47" s="6" t="s">
        <v>14</v>
      </c>
    </row>
    <row r="48" customFormat="false" ht="15" hidden="false" customHeight="false" outlineLevel="0" collapsed="false">
      <c r="A48" s="2" t="n">
        <v>47</v>
      </c>
      <c r="B48" s="2" t="s">
        <v>121</v>
      </c>
      <c r="C48" s="3" t="s">
        <v>7</v>
      </c>
      <c r="D48" s="2" t="s">
        <v>122</v>
      </c>
      <c r="E48" s="2" t="s">
        <v>112</v>
      </c>
      <c r="F48" s="4" t="s">
        <v>10</v>
      </c>
    </row>
    <row r="49" customFormat="false" ht="15" hidden="false" customHeight="false" outlineLevel="0" collapsed="false">
      <c r="A49" s="2" t="n">
        <v>48</v>
      </c>
      <c r="B49" s="2" t="s">
        <v>123</v>
      </c>
      <c r="C49" s="5" t="s">
        <v>12</v>
      </c>
      <c r="D49" s="2" t="s">
        <v>124</v>
      </c>
      <c r="E49" s="2" t="s">
        <v>9</v>
      </c>
      <c r="F49" s="6" t="s">
        <v>14</v>
      </c>
    </row>
    <row r="50" customFormat="false" ht="15" hidden="false" customHeight="false" outlineLevel="0" collapsed="false">
      <c r="A50" s="2" t="n">
        <v>49</v>
      </c>
      <c r="B50" s="2" t="s">
        <v>125</v>
      </c>
      <c r="C50" s="5" t="s">
        <v>12</v>
      </c>
      <c r="D50" s="2" t="s">
        <v>126</v>
      </c>
      <c r="E50" s="2" t="s">
        <v>9</v>
      </c>
      <c r="F50" s="6" t="s">
        <v>14</v>
      </c>
    </row>
    <row r="51" customFormat="false" ht="15" hidden="false" customHeight="false" outlineLevel="0" collapsed="false">
      <c r="A51" s="2" t="n">
        <v>50</v>
      </c>
      <c r="B51" s="2" t="s">
        <v>127</v>
      </c>
      <c r="C51" s="5" t="s">
        <v>12</v>
      </c>
      <c r="D51" s="2" t="s">
        <v>128</v>
      </c>
      <c r="E51" s="2" t="s">
        <v>9</v>
      </c>
      <c r="F51" s="6" t="s">
        <v>14</v>
      </c>
    </row>
    <row r="52" customFormat="false" ht="15" hidden="false" customHeight="false" outlineLevel="0" collapsed="false">
      <c r="A52" s="2" t="n">
        <v>51</v>
      </c>
      <c r="B52" s="2" t="s">
        <v>129</v>
      </c>
      <c r="C52" s="3" t="s">
        <v>7</v>
      </c>
      <c r="D52" s="2" t="s">
        <v>130</v>
      </c>
      <c r="E52" s="2" t="s">
        <v>9</v>
      </c>
      <c r="F52" s="4" t="s">
        <v>131</v>
      </c>
    </row>
    <row r="53" customFormat="false" ht="15" hidden="false" customHeight="false" outlineLevel="0" collapsed="false">
      <c r="A53" s="2" t="n">
        <v>52</v>
      </c>
      <c r="B53" s="2" t="s">
        <v>132</v>
      </c>
      <c r="C53" s="5" t="s">
        <v>12</v>
      </c>
      <c r="D53" s="2" t="s">
        <v>133</v>
      </c>
      <c r="E53" s="2" t="s">
        <v>9</v>
      </c>
      <c r="F53" s="6" t="s">
        <v>14</v>
      </c>
    </row>
    <row r="54" customFormat="false" ht="15" hidden="false" customHeight="false" outlineLevel="0" collapsed="false">
      <c r="A54" s="2" t="n">
        <v>53</v>
      </c>
      <c r="B54" s="2" t="s">
        <v>134</v>
      </c>
      <c r="C54" s="9" t="s">
        <v>69</v>
      </c>
      <c r="D54" s="2" t="s">
        <v>135</v>
      </c>
      <c r="E54" s="2" t="s">
        <v>76</v>
      </c>
      <c r="F54" s="4" t="s">
        <v>50</v>
      </c>
    </row>
    <row r="55" customFormat="false" ht="15" hidden="false" customHeight="false" outlineLevel="0" collapsed="false">
      <c r="A55" s="2" t="n">
        <v>54</v>
      </c>
      <c r="B55" s="2" t="s">
        <v>136</v>
      </c>
      <c r="C55" s="3" t="s">
        <v>7</v>
      </c>
      <c r="D55" s="2" t="s">
        <v>137</v>
      </c>
      <c r="E55" s="2" t="s">
        <v>112</v>
      </c>
      <c r="F55" s="6" t="s">
        <v>14</v>
      </c>
    </row>
    <row r="56" customFormat="false" ht="15" hidden="false" customHeight="false" outlineLevel="0" collapsed="false">
      <c r="A56" s="2" t="n">
        <v>55</v>
      </c>
      <c r="B56" s="2" t="s">
        <v>138</v>
      </c>
      <c r="C56" s="5" t="s">
        <v>12</v>
      </c>
      <c r="D56" s="2" t="s">
        <v>139</v>
      </c>
      <c r="E56" s="2" t="s">
        <v>9</v>
      </c>
      <c r="F56" s="6" t="s">
        <v>14</v>
      </c>
    </row>
    <row r="57" customFormat="false" ht="15" hidden="false" customHeight="false" outlineLevel="0" collapsed="false">
      <c r="A57" s="2" t="n">
        <v>56</v>
      </c>
      <c r="B57" s="2" t="s">
        <v>140</v>
      </c>
      <c r="C57" s="3" t="s">
        <v>7</v>
      </c>
      <c r="D57" s="2" t="s">
        <v>141</v>
      </c>
      <c r="E57" s="2" t="s">
        <v>9</v>
      </c>
      <c r="F57" s="6" t="s">
        <v>14</v>
      </c>
    </row>
    <row r="58" customFormat="false" ht="15" hidden="false" customHeight="false" outlineLevel="0" collapsed="false">
      <c r="A58" s="2" t="n">
        <v>57</v>
      </c>
      <c r="B58" s="2" t="s">
        <v>142</v>
      </c>
      <c r="C58" s="10" t="s">
        <v>95</v>
      </c>
      <c r="D58" s="2" t="s">
        <v>143</v>
      </c>
      <c r="E58" s="2" t="s">
        <v>97</v>
      </c>
      <c r="F58" s="8" t="s">
        <v>47</v>
      </c>
    </row>
    <row r="59" customFormat="false" ht="15" hidden="false" customHeight="false" outlineLevel="0" collapsed="false">
      <c r="A59" s="2" t="n">
        <v>58</v>
      </c>
      <c r="B59" s="2" t="s">
        <v>144</v>
      </c>
      <c r="C59" s="5" t="s">
        <v>12</v>
      </c>
      <c r="D59" s="2" t="s">
        <v>145</v>
      </c>
      <c r="E59" s="2" t="s">
        <v>100</v>
      </c>
      <c r="F59" s="6" t="s">
        <v>14</v>
      </c>
    </row>
    <row r="60" customFormat="false" ht="15" hidden="false" customHeight="false" outlineLevel="0" collapsed="false">
      <c r="A60" s="2" t="n">
        <v>59</v>
      </c>
      <c r="B60" s="2" t="s">
        <v>146</v>
      </c>
      <c r="C60" s="5" t="s">
        <v>12</v>
      </c>
      <c r="D60" s="2" t="s">
        <v>147</v>
      </c>
      <c r="E60" s="2" t="s">
        <v>9</v>
      </c>
      <c r="F60" s="6" t="s">
        <v>14</v>
      </c>
    </row>
    <row r="61" customFormat="false" ht="15" hidden="false" customHeight="false" outlineLevel="0" collapsed="false">
      <c r="A61" s="2" t="n">
        <v>60</v>
      </c>
      <c r="B61" s="2" t="s">
        <v>148</v>
      </c>
      <c r="C61" s="5" t="s">
        <v>12</v>
      </c>
      <c r="D61" s="2" t="s">
        <v>149</v>
      </c>
      <c r="E61" s="2" t="s">
        <v>9</v>
      </c>
      <c r="F61" s="6" t="s">
        <v>14</v>
      </c>
    </row>
    <row r="62" customFormat="false" ht="15" hidden="false" customHeight="false" outlineLevel="0" collapsed="false">
      <c r="A62" s="2" t="n">
        <v>61</v>
      </c>
      <c r="B62" s="2" t="s">
        <v>150</v>
      </c>
      <c r="C62" s="5" t="s">
        <v>12</v>
      </c>
      <c r="D62" s="2" t="s">
        <v>151</v>
      </c>
      <c r="E62" s="2" t="s">
        <v>9</v>
      </c>
      <c r="F62" s="6" t="s">
        <v>14</v>
      </c>
    </row>
    <row r="63" customFormat="false" ht="15" hidden="false" customHeight="false" outlineLevel="0" collapsed="false">
      <c r="A63" s="2" t="n">
        <v>62</v>
      </c>
      <c r="B63" s="2" t="s">
        <v>152</v>
      </c>
      <c r="C63" s="5" t="s">
        <v>12</v>
      </c>
      <c r="D63" s="2" t="s">
        <v>153</v>
      </c>
      <c r="E63" s="2" t="s">
        <v>9</v>
      </c>
      <c r="F63" s="6" t="s">
        <v>14</v>
      </c>
    </row>
    <row r="64" customFormat="false" ht="15" hidden="false" customHeight="false" outlineLevel="0" collapsed="false">
      <c r="A64" s="2" t="n">
        <v>63</v>
      </c>
      <c r="B64" s="2" t="s">
        <v>154</v>
      </c>
      <c r="C64" s="5" t="s">
        <v>12</v>
      </c>
      <c r="D64" s="2" t="s">
        <v>155</v>
      </c>
      <c r="E64" s="2" t="s">
        <v>9</v>
      </c>
      <c r="F64" s="6" t="s">
        <v>14</v>
      </c>
    </row>
    <row r="65" customFormat="false" ht="15" hidden="false" customHeight="false" outlineLevel="0" collapsed="false">
      <c r="A65" s="2" t="n">
        <v>64</v>
      </c>
      <c r="B65" s="2" t="s">
        <v>156</v>
      </c>
      <c r="C65" s="3" t="s">
        <v>7</v>
      </c>
      <c r="D65" s="2" t="s">
        <v>157</v>
      </c>
      <c r="E65" s="2" t="s">
        <v>33</v>
      </c>
      <c r="F65" s="4" t="s">
        <v>10</v>
      </c>
    </row>
    <row r="66" customFormat="false" ht="15" hidden="false" customHeight="false" outlineLevel="0" collapsed="false">
      <c r="A66" s="2" t="n">
        <v>65</v>
      </c>
      <c r="B66" s="2" t="s">
        <v>158</v>
      </c>
      <c r="C66" s="3" t="s">
        <v>7</v>
      </c>
      <c r="D66" s="2" t="s">
        <v>159</v>
      </c>
      <c r="E66" s="2" t="s">
        <v>33</v>
      </c>
      <c r="F66" s="4" t="s">
        <v>10</v>
      </c>
    </row>
    <row r="67" customFormat="false" ht="15" hidden="false" customHeight="false" outlineLevel="0" collapsed="false">
      <c r="A67" s="2" t="n">
        <v>66</v>
      </c>
      <c r="B67" s="2" t="s">
        <v>160</v>
      </c>
      <c r="C67" s="5" t="s">
        <v>12</v>
      </c>
      <c r="D67" s="2" t="s">
        <v>161</v>
      </c>
      <c r="E67" s="2" t="s">
        <v>9</v>
      </c>
      <c r="F67" s="6" t="s">
        <v>14</v>
      </c>
    </row>
    <row r="68" customFormat="false" ht="15" hidden="false" customHeight="false" outlineLevel="0" collapsed="false">
      <c r="A68" s="2" t="n">
        <v>67</v>
      </c>
      <c r="B68" s="2" t="s">
        <v>162</v>
      </c>
      <c r="C68" s="3" t="s">
        <v>7</v>
      </c>
      <c r="D68" s="2" t="s">
        <v>163</v>
      </c>
      <c r="E68" s="2" t="s">
        <v>59</v>
      </c>
      <c r="F68" s="4" t="s">
        <v>10</v>
      </c>
    </row>
    <row r="69" customFormat="false" ht="15" hidden="false" customHeight="false" outlineLevel="0" collapsed="false">
      <c r="A69" s="2" t="n">
        <v>68</v>
      </c>
      <c r="B69" s="2" t="s">
        <v>164</v>
      </c>
      <c r="C69" s="3" t="s">
        <v>7</v>
      </c>
      <c r="D69" s="2" t="s">
        <v>165</v>
      </c>
      <c r="E69" s="2" t="s">
        <v>9</v>
      </c>
      <c r="F69" s="4" t="s">
        <v>10</v>
      </c>
    </row>
    <row r="70" customFormat="false" ht="15" hidden="false" customHeight="false" outlineLevel="0" collapsed="false">
      <c r="A70" s="2" t="n">
        <v>69</v>
      </c>
      <c r="B70" s="2" t="s">
        <v>166</v>
      </c>
      <c r="C70" s="3" t="s">
        <v>7</v>
      </c>
      <c r="D70" s="2" t="s">
        <v>167</v>
      </c>
      <c r="E70" s="2" t="s">
        <v>17</v>
      </c>
      <c r="F70" s="4" t="s">
        <v>10</v>
      </c>
    </row>
    <row r="71" customFormat="false" ht="15" hidden="false" customHeight="false" outlineLevel="0" collapsed="false">
      <c r="A71" s="2" t="n">
        <v>70</v>
      </c>
      <c r="B71" s="2" t="s">
        <v>168</v>
      </c>
      <c r="C71" s="3" t="s">
        <v>7</v>
      </c>
      <c r="D71" s="2" t="s">
        <v>169</v>
      </c>
      <c r="E71" s="2" t="s">
        <v>33</v>
      </c>
      <c r="F71" s="4" t="s">
        <v>10</v>
      </c>
    </row>
    <row r="72" customFormat="false" ht="15" hidden="false" customHeight="false" outlineLevel="0" collapsed="false">
      <c r="A72" s="2" t="n">
        <v>71</v>
      </c>
      <c r="B72" s="2" t="s">
        <v>170</v>
      </c>
      <c r="C72" s="7" t="s">
        <v>44</v>
      </c>
      <c r="D72" s="2" t="s">
        <v>171</v>
      </c>
      <c r="E72" s="2" t="s">
        <v>172</v>
      </c>
      <c r="F72" s="8" t="s">
        <v>47</v>
      </c>
    </row>
    <row r="73" customFormat="false" ht="15" hidden="false" customHeight="false" outlineLevel="0" collapsed="false">
      <c r="A73" s="2" t="n">
        <v>72</v>
      </c>
      <c r="B73" s="2" t="s">
        <v>173</v>
      </c>
      <c r="C73" s="10" t="s">
        <v>95</v>
      </c>
      <c r="D73" s="2" t="s">
        <v>174</v>
      </c>
      <c r="E73" s="2" t="s">
        <v>175</v>
      </c>
      <c r="F73" s="8" t="s">
        <v>47</v>
      </c>
    </row>
    <row r="74" customFormat="false" ht="15" hidden="false" customHeight="false" outlineLevel="0" collapsed="false">
      <c r="A74" s="2" t="n">
        <v>73</v>
      </c>
      <c r="B74" s="2" t="s">
        <v>176</v>
      </c>
      <c r="C74" s="3" t="s">
        <v>7</v>
      </c>
      <c r="D74" s="2" t="s">
        <v>177</v>
      </c>
      <c r="E74" s="2" t="s">
        <v>178</v>
      </c>
      <c r="F74" s="4" t="s">
        <v>50</v>
      </c>
    </row>
    <row r="75" customFormat="false" ht="15" hidden="false" customHeight="false" outlineLevel="0" collapsed="false">
      <c r="A75" s="2" t="n">
        <v>74</v>
      </c>
      <c r="B75" s="2" t="s">
        <v>179</v>
      </c>
      <c r="C75" s="3" t="s">
        <v>7</v>
      </c>
      <c r="D75" s="2" t="s">
        <v>180</v>
      </c>
      <c r="E75" s="2" t="s">
        <v>9</v>
      </c>
      <c r="F75" s="6" t="s">
        <v>14</v>
      </c>
    </row>
    <row r="76" customFormat="false" ht="15" hidden="false" customHeight="false" outlineLevel="0" collapsed="false">
      <c r="A76" s="2" t="n">
        <v>75</v>
      </c>
      <c r="B76" s="2" t="s">
        <v>181</v>
      </c>
      <c r="C76" s="7" t="s">
        <v>44</v>
      </c>
      <c r="D76" s="2" t="s">
        <v>182</v>
      </c>
      <c r="E76" s="2" t="s">
        <v>46</v>
      </c>
      <c r="F76" s="8" t="s">
        <v>47</v>
      </c>
    </row>
    <row r="77" customFormat="false" ht="15" hidden="false" customHeight="false" outlineLevel="0" collapsed="false">
      <c r="A77" s="2" t="n">
        <v>76</v>
      </c>
      <c r="B77" s="2" t="s">
        <v>183</v>
      </c>
      <c r="C77" s="3" t="s">
        <v>7</v>
      </c>
      <c r="D77" s="2" t="s">
        <v>184</v>
      </c>
      <c r="E77" s="2" t="s">
        <v>9</v>
      </c>
      <c r="F77" s="6" t="s">
        <v>14</v>
      </c>
    </row>
    <row r="78" customFormat="false" ht="15" hidden="false" customHeight="false" outlineLevel="0" collapsed="false">
      <c r="A78" s="2" t="n">
        <v>77</v>
      </c>
      <c r="B78" s="2" t="s">
        <v>185</v>
      </c>
      <c r="C78" s="5" t="s">
        <v>12</v>
      </c>
      <c r="D78" s="2" t="s">
        <v>186</v>
      </c>
      <c r="E78" s="2" t="s">
        <v>100</v>
      </c>
      <c r="F78" s="6" t="s">
        <v>14</v>
      </c>
    </row>
    <row r="79" customFormat="false" ht="15" hidden="false" customHeight="false" outlineLevel="0" collapsed="false">
      <c r="A79" s="2" t="n">
        <v>78</v>
      </c>
      <c r="B79" s="2" t="s">
        <v>187</v>
      </c>
      <c r="C79" s="5" t="s">
        <v>12</v>
      </c>
      <c r="D79" s="2" t="s">
        <v>188</v>
      </c>
      <c r="E79" s="2" t="s">
        <v>100</v>
      </c>
      <c r="F79" s="6" t="s">
        <v>14</v>
      </c>
    </row>
    <row r="80" customFormat="false" ht="15" hidden="false" customHeight="false" outlineLevel="0" collapsed="false">
      <c r="A80" s="2" t="n">
        <v>79</v>
      </c>
      <c r="B80" s="2" t="s">
        <v>189</v>
      </c>
      <c r="C80" s="5" t="s">
        <v>12</v>
      </c>
      <c r="D80" s="2" t="s">
        <v>190</v>
      </c>
      <c r="E80" s="2" t="s">
        <v>9</v>
      </c>
      <c r="F80" s="6" t="s">
        <v>14</v>
      </c>
    </row>
    <row r="81" customFormat="false" ht="15" hidden="false" customHeight="false" outlineLevel="0" collapsed="false">
      <c r="A81" s="2" t="n">
        <v>80</v>
      </c>
      <c r="B81" s="2" t="s">
        <v>191</v>
      </c>
      <c r="C81" s="5" t="s">
        <v>12</v>
      </c>
      <c r="D81" s="2" t="s">
        <v>192</v>
      </c>
      <c r="E81" s="2" t="s">
        <v>9</v>
      </c>
      <c r="F81" s="6" t="s">
        <v>14</v>
      </c>
    </row>
    <row r="82" customFormat="false" ht="15" hidden="false" customHeight="false" outlineLevel="0" collapsed="false">
      <c r="A82" s="2" t="n">
        <v>81</v>
      </c>
      <c r="B82" s="2" t="s">
        <v>193</v>
      </c>
      <c r="C82" s="3" t="s">
        <v>7</v>
      </c>
      <c r="D82" s="2" t="s">
        <v>194</v>
      </c>
      <c r="E82" s="2" t="s">
        <v>9</v>
      </c>
      <c r="F82" s="6" t="s">
        <v>14</v>
      </c>
    </row>
    <row r="83" customFormat="false" ht="15" hidden="false" customHeight="false" outlineLevel="0" collapsed="false">
      <c r="A83" s="2" t="n">
        <v>82</v>
      </c>
      <c r="B83" s="2" t="s">
        <v>195</v>
      </c>
      <c r="C83" s="3" t="s">
        <v>7</v>
      </c>
      <c r="D83" s="2" t="s">
        <v>196</v>
      </c>
      <c r="E83" s="2" t="s">
        <v>112</v>
      </c>
      <c r="F83" s="6" t="s">
        <v>14</v>
      </c>
    </row>
    <row r="84" customFormat="false" ht="15" hidden="false" customHeight="false" outlineLevel="0" collapsed="false">
      <c r="A84" s="2" t="n">
        <v>83</v>
      </c>
      <c r="B84" s="2" t="s">
        <v>197</v>
      </c>
      <c r="C84" s="5" t="s">
        <v>12</v>
      </c>
      <c r="D84" s="2" t="s">
        <v>198</v>
      </c>
      <c r="E84" s="2" t="s">
        <v>9</v>
      </c>
      <c r="F84" s="6" t="s">
        <v>14</v>
      </c>
    </row>
    <row r="85" customFormat="false" ht="15" hidden="false" customHeight="false" outlineLevel="0" collapsed="false">
      <c r="A85" s="2" t="n">
        <v>84</v>
      </c>
      <c r="B85" s="2" t="s">
        <v>199</v>
      </c>
      <c r="C85" s="3" t="s">
        <v>7</v>
      </c>
      <c r="D85" s="2" t="s">
        <v>200</v>
      </c>
      <c r="E85" s="2" t="s">
        <v>33</v>
      </c>
      <c r="F85" s="4" t="s">
        <v>10</v>
      </c>
    </row>
    <row r="86" customFormat="false" ht="15" hidden="false" customHeight="false" outlineLevel="0" collapsed="false">
      <c r="A86" s="2" t="n">
        <v>85</v>
      </c>
      <c r="B86" s="2" t="s">
        <v>201</v>
      </c>
      <c r="C86" s="9" t="s">
        <v>69</v>
      </c>
      <c r="D86" s="2" t="s">
        <v>202</v>
      </c>
      <c r="E86" s="2" t="s">
        <v>76</v>
      </c>
      <c r="F86" s="4" t="s">
        <v>50</v>
      </c>
    </row>
    <row r="87" customFormat="false" ht="15" hidden="false" customHeight="false" outlineLevel="0" collapsed="false">
      <c r="A87" s="2" t="n">
        <v>86</v>
      </c>
      <c r="B87" s="2" t="s">
        <v>203</v>
      </c>
      <c r="C87" s="9" t="s">
        <v>69</v>
      </c>
      <c r="D87" s="2" t="s">
        <v>204</v>
      </c>
      <c r="E87" s="2" t="s">
        <v>76</v>
      </c>
      <c r="F87" s="4" t="s">
        <v>50</v>
      </c>
    </row>
    <row r="88" customFormat="false" ht="15" hidden="false" customHeight="false" outlineLevel="0" collapsed="false">
      <c r="A88" s="2" t="n">
        <v>87</v>
      </c>
      <c r="B88" s="2" t="s">
        <v>205</v>
      </c>
      <c r="C88" s="9" t="s">
        <v>69</v>
      </c>
      <c r="D88" s="2" t="s">
        <v>206</v>
      </c>
      <c r="E88" s="2" t="s">
        <v>207</v>
      </c>
      <c r="F88" s="8" t="s">
        <v>47</v>
      </c>
    </row>
    <row r="89" customFormat="false" ht="15" hidden="false" customHeight="false" outlineLevel="0" collapsed="false">
      <c r="A89" s="2" t="n">
        <v>88</v>
      </c>
      <c r="B89" s="2" t="s">
        <v>208</v>
      </c>
      <c r="C89" s="9" t="s">
        <v>69</v>
      </c>
      <c r="D89" s="2" t="s">
        <v>209</v>
      </c>
      <c r="E89" s="2" t="s">
        <v>76</v>
      </c>
      <c r="F89" s="8" t="s">
        <v>47</v>
      </c>
    </row>
    <row r="90" customFormat="false" ht="15" hidden="false" customHeight="false" outlineLevel="0" collapsed="false">
      <c r="A90" s="2" t="n">
        <v>89</v>
      </c>
      <c r="B90" s="2" t="s">
        <v>210</v>
      </c>
      <c r="C90" s="3" t="s">
        <v>7</v>
      </c>
      <c r="D90" s="2" t="s">
        <v>211</v>
      </c>
      <c r="E90" s="2" t="s">
        <v>9</v>
      </c>
      <c r="F90" s="6" t="s">
        <v>14</v>
      </c>
    </row>
    <row r="91" customFormat="false" ht="15" hidden="false" customHeight="false" outlineLevel="0" collapsed="false">
      <c r="A91" s="2" t="n">
        <v>90</v>
      </c>
      <c r="B91" s="2" t="s">
        <v>212</v>
      </c>
      <c r="C91" s="7" t="s">
        <v>44</v>
      </c>
      <c r="D91" s="2" t="s">
        <v>213</v>
      </c>
      <c r="E91" s="2" t="s">
        <v>93</v>
      </c>
      <c r="F91" s="8" t="s">
        <v>47</v>
      </c>
    </row>
  </sheetData>
  <autoFilter ref="A1:F9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16.15" hidden="false" customHeight="false" outlineLevel="0" collapsed="false">
      <c r="A1" s="11" t="s">
        <v>214</v>
      </c>
    </row>
    <row r="3" customFormat="false" ht="15" hidden="false" customHeight="false" outlineLevel="0" collapsed="false">
      <c r="A3" s="12" t="s">
        <v>215</v>
      </c>
      <c r="B3" s="12" t="s">
        <v>216</v>
      </c>
      <c r="C3" s="12" t="s">
        <v>217</v>
      </c>
    </row>
    <row r="4" customFormat="false" ht="15" hidden="false" customHeight="false" outlineLevel="0" collapsed="false">
      <c r="A4" s="13" t="s">
        <v>12</v>
      </c>
      <c r="B4" s="14" t="s">
        <v>218</v>
      </c>
      <c r="C4" s="14" t="n">
        <f aca="false">COUNTIF('Audit Checks'!$C:$C,"CRAWL")</f>
        <v>35</v>
      </c>
    </row>
    <row r="5" customFormat="false" ht="23.85" hidden="false" customHeight="false" outlineLevel="0" collapsed="false">
      <c r="A5" s="15" t="s">
        <v>7</v>
      </c>
      <c r="B5" s="14" t="s">
        <v>219</v>
      </c>
      <c r="C5" s="14" t="n">
        <f aca="false">COUNTIF('Audit Checks'!$C:$C,"CRAWL+")</f>
        <v>34</v>
      </c>
    </row>
    <row r="6" customFormat="false" ht="15" hidden="false" customHeight="false" outlineLevel="0" collapsed="false">
      <c r="A6" s="16" t="s">
        <v>44</v>
      </c>
      <c r="B6" s="14" t="s">
        <v>220</v>
      </c>
      <c r="C6" s="14" t="n">
        <f aca="false">COUNTIF('Audit Checks'!$C:$C,"RENDER")</f>
        <v>8</v>
      </c>
    </row>
    <row r="7" customFormat="false" ht="15" hidden="false" customHeight="false" outlineLevel="0" collapsed="false">
      <c r="A7" s="17" t="s">
        <v>69</v>
      </c>
      <c r="B7" s="14" t="s">
        <v>221</v>
      </c>
      <c r="C7" s="14" t="n">
        <f aca="false">COUNTIF('Audit Checks'!$C:$C,"CWV")</f>
        <v>10</v>
      </c>
    </row>
    <row r="8" customFormat="false" ht="15" hidden="false" customHeight="false" outlineLevel="0" collapsed="false">
      <c r="A8" s="18" t="s">
        <v>95</v>
      </c>
      <c r="B8" s="14" t="s">
        <v>222</v>
      </c>
      <c r="C8" s="14" t="n">
        <f aca="false">COUNTIF('Audit Checks'!$C:$C,"EXTERNAL")</f>
        <v>3</v>
      </c>
    </row>
    <row r="9" customFormat="false" ht="15" hidden="false" customHeight="false" outlineLevel="0" collapsed="false">
      <c r="A9" s="19" t="s">
        <v>223</v>
      </c>
      <c r="C9" s="19" t="n">
        <f aca="false">SUM(C4:C8)</f>
        <v>90</v>
      </c>
    </row>
    <row r="11" customFormat="false" ht="15" hidden="false" customHeight="false" outlineLevel="0" collapsed="false">
      <c r="A11" s="19" t="s">
        <v>224</v>
      </c>
    </row>
    <row r="12" customFormat="false" ht="15" hidden="false" customHeight="false" outlineLevel="0" collapsed="false">
      <c r="A12" s="20" t="s">
        <v>225</v>
      </c>
    </row>
    <row r="13" customFormat="false" ht="15" hidden="false" customHeight="false" outlineLevel="0" collapsed="false">
      <c r="A13" s="20" t="s">
        <v>226</v>
      </c>
    </row>
    <row r="14" customFormat="false" ht="15" hidden="false" customHeight="false" outlineLevel="0" collapsed="false">
      <c r="A14" s="20" t="s">
        <v>227</v>
      </c>
    </row>
    <row r="15" customFormat="false" ht="15" hidden="false" customHeight="false" outlineLevel="0" collapsed="false">
      <c r="A15" s="20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2026-06-22T16:43:52Z</dcterms:created>
  <dc:creator>openpyxl</dc:creator>
  <dc:description/>
  <dc:language>en-US</dc:language>
  <cp:lastModifiedBy/>
  <dcterms:modified xsi:type="dcterms:W3CDTF">2026-06-22T16:43:52Z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